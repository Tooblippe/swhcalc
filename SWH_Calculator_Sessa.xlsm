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8" windowWidth="14808" windowHeight="8016" activeTab="2"/>
  </bookViews>
  <sheets>
    <sheet name="Page 1" sheetId="1" r:id="rId1"/>
    <sheet name="Page2" sheetId="2" r:id="rId2"/>
    <sheet name="Page3" sheetId="5" r:id="rId3"/>
    <sheet name="Data" sheetId="3" state="hidden" r:id="rId4"/>
    <sheet name="Calcs" sheetId="4" state="hidden" r:id="rId5"/>
  </sheets>
  <definedNames>
    <definedName name="cities">Data!$B$3:$B$7</definedName>
    <definedName name="citylist">Data!$B$2:$B$7</definedName>
    <definedName name="citylistobs">Data!$B$2:$B$7</definedName>
    <definedName name="ckwh">'Page 1'!$H$14</definedName>
    <definedName name="const">Calcs!$C$11</definedName>
    <definedName name="cp">Calcs!$C$3</definedName>
    <definedName name="dayenergy">Calcs!$C$19</definedName>
    <definedName name="dayspermonth">Calcs!$C$7</definedName>
    <definedName name="eleccost">Data!$B$15:$B$22</definedName>
    <definedName name="hwater">Calcs!$B$6</definedName>
    <definedName name="hwpp">Calcs!$C$6</definedName>
    <definedName name="mj">'Page 1'!$H$8</definedName>
    <definedName name="monthenergy">Calcs!$C$20</definedName>
    <definedName name="npeople">'Page 1'!$H$10</definedName>
    <definedName name="people">Data!$E$3:$E$12</definedName>
    <definedName name="radiation">Calcs!$C$10</definedName>
    <definedName name="system">Data!$H$3:$H$5</definedName>
    <definedName name="systemcost">Calcs!$C$18</definedName>
    <definedName name="systemq">Calcs!$C$19</definedName>
    <definedName name="tin">Calcs!$C$5</definedName>
    <definedName name="tset">Calcs!$C$4</definedName>
  </definedNames>
  <calcPr calcId="125725"/>
</workbook>
</file>

<file path=xl/calcChain.xml><?xml version="1.0" encoding="utf-8"?>
<calcChain xmlns="http://schemas.openxmlformats.org/spreadsheetml/2006/main">
  <c r="H11" i="2"/>
  <c r="D19" i="5"/>
  <c r="D17"/>
  <c r="D15"/>
  <c r="C13" i="4"/>
  <c r="C15" s="1"/>
  <c r="C12"/>
  <c r="C18"/>
  <c r="C19" s="1"/>
  <c r="C20" s="1"/>
  <c r="C21" s="1"/>
  <c r="C7"/>
  <c r="C8"/>
  <c r="C9"/>
  <c r="C10" s="1"/>
  <c r="C14" l="1"/>
  <c r="C25" s="1"/>
  <c r="C26" l="1"/>
  <c r="H9" i="5"/>
  <c r="C31" i="4"/>
  <c r="C34"/>
  <c r="H9" i="2"/>
  <c r="C28" i="4"/>
  <c r="H21" i="5" l="1"/>
  <c r="H17"/>
  <c r="H13"/>
  <c r="H19"/>
  <c r="H15"/>
  <c r="H11"/>
  <c r="H16" i="2"/>
  <c r="C35" i="4"/>
  <c r="C32"/>
  <c r="H13" i="2"/>
  <c r="H17" l="1"/>
  <c r="C36" i="4"/>
  <c r="H18" i="2" s="1"/>
</calcChain>
</file>

<file path=xl/sharedStrings.xml><?xml version="1.0" encoding="utf-8"?>
<sst xmlns="http://schemas.openxmlformats.org/spreadsheetml/2006/main" count="91" uniqueCount="76">
  <si>
    <t>Solar Water Heating Savings Calculator</t>
  </si>
  <si>
    <t>Step 1</t>
  </si>
  <si>
    <t>Take the first savvy step towards a greener journey!</t>
  </si>
  <si>
    <t>What part of the country to you live in?</t>
  </si>
  <si>
    <t>How many people in your household?</t>
  </si>
  <si>
    <t>What system have you chosen?</t>
  </si>
  <si>
    <t>Cost of electricity - Rand per kWh</t>
  </si>
  <si>
    <t>City List</t>
  </si>
  <si>
    <t>Johannesburg</t>
  </si>
  <si>
    <t>Cape Town</t>
  </si>
  <si>
    <t>Durban</t>
  </si>
  <si>
    <t>PS</t>
  </si>
  <si>
    <t>East London</t>
  </si>
  <si>
    <t>People</t>
  </si>
  <si>
    <t>System #</t>
  </si>
  <si>
    <t xml:space="preserve">System name # </t>
  </si>
  <si>
    <t>Cost</t>
  </si>
  <si>
    <t>Q</t>
  </si>
  <si>
    <t>Electricity Cost</t>
  </si>
  <si>
    <t>Congratulations! Here are the smart savings you have made</t>
  </si>
  <si>
    <t>by simply choosing a greener way to heat your water:</t>
  </si>
  <si>
    <t>Electricity saved per month</t>
  </si>
  <si>
    <t>R</t>
  </si>
  <si>
    <t>System running cost per month</t>
  </si>
  <si>
    <t>Months to break even</t>
  </si>
  <si>
    <t xml:space="preserve">Total return after </t>
  </si>
  <si>
    <t>12 months</t>
  </si>
  <si>
    <t>24 months</t>
  </si>
  <si>
    <t>48 months</t>
  </si>
  <si>
    <t>Hot water per person</t>
  </si>
  <si>
    <t>cp</t>
  </si>
  <si>
    <t>tset</t>
  </si>
  <si>
    <t>tin</t>
  </si>
  <si>
    <t>MJ/day</t>
  </si>
  <si>
    <t>radiation</t>
  </si>
  <si>
    <t>dayspermonth</t>
  </si>
  <si>
    <t>city</t>
  </si>
  <si>
    <t>daywater</t>
  </si>
  <si>
    <t>people</t>
  </si>
  <si>
    <t>mj</t>
  </si>
  <si>
    <t>current energy per day</t>
  </si>
  <si>
    <t>current energy per month</t>
  </si>
  <si>
    <t>kWh</t>
  </si>
  <si>
    <t>current cost per month</t>
  </si>
  <si>
    <t>energy cost</t>
  </si>
  <si>
    <t>qfactor</t>
  </si>
  <si>
    <t>system</t>
  </si>
  <si>
    <t>enerfy saved per month</t>
  </si>
  <si>
    <t>cost saved per month</t>
  </si>
  <si>
    <t>runing cost per month</t>
  </si>
  <si>
    <t>this is what you pay before</t>
  </si>
  <si>
    <t>you will save this</t>
  </si>
  <si>
    <t>this is what you pay now</t>
  </si>
  <si>
    <t xml:space="preserve">system cost </t>
  </si>
  <si>
    <t>months to break even</t>
  </si>
  <si>
    <t>years to break even</t>
  </si>
  <si>
    <t>return12</t>
  </si>
  <si>
    <t>return24</t>
  </si>
  <si>
    <t>return48</t>
  </si>
  <si>
    <t>Supplier One</t>
  </si>
  <si>
    <t>Fun Heat</t>
  </si>
  <si>
    <t>Some Heat</t>
  </si>
  <si>
    <t>Step 3</t>
  </si>
  <si>
    <t>Congratulations! You have earned the following eco-credentials:</t>
  </si>
  <si>
    <t>Water</t>
  </si>
  <si>
    <t>Coal</t>
  </si>
  <si>
    <t>Ash</t>
  </si>
  <si>
    <t>SO2</t>
  </si>
  <si>
    <t>NOx</t>
  </si>
  <si>
    <t>CO2</t>
  </si>
  <si>
    <t>kg</t>
  </si>
  <si>
    <t>litres</t>
  </si>
  <si>
    <t>Calculated over 10 years</t>
  </si>
  <si>
    <t>greenyears</t>
  </si>
  <si>
    <t>Energy</t>
  </si>
  <si>
    <t>Step 2</t>
  </si>
</sst>
</file>

<file path=xl/styles.xml><?xml version="1.0" encoding="utf-8"?>
<styleSheet xmlns="http://schemas.openxmlformats.org/spreadsheetml/2006/main">
  <numFmts count="2">
    <numFmt numFmtId="43" formatCode="_ * #,##0.00_ ;_ * \-#,##0.00_ ;_ * &quot;-&quot;??_ ;_ @_ "/>
    <numFmt numFmtId="164" formatCode="_ * #,##0_ ;_ * \-#,##0_ ;_ * &quot;-&quot;??_ ;_ @_ 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5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0" xfId="0" applyFill="1" applyBorder="1" applyAlignment="1">
      <alignment horizontal="right"/>
    </xf>
    <xf numFmtId="0" fontId="0" fillId="2" borderId="0" xfId="0" applyFill="1" applyAlignment="1">
      <alignment horizontal="right"/>
    </xf>
    <xf numFmtId="2" fontId="0" fillId="2" borderId="0" xfId="0" applyNumberFormat="1" applyFill="1"/>
    <xf numFmtId="2" fontId="0" fillId="2" borderId="8" xfId="0" applyNumberFormat="1" applyFill="1" applyBorder="1"/>
    <xf numFmtId="2" fontId="0" fillId="2" borderId="0" xfId="0" applyNumberFormat="1" applyFill="1" applyAlignment="1">
      <alignment horizontal="center"/>
    </xf>
    <xf numFmtId="2" fontId="6" fillId="2" borderId="0" xfId="0" applyNumberFormat="1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2" fillId="3" borderId="0" xfId="0" applyFont="1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3" fillId="3" borderId="8" xfId="0" applyFont="1" applyFill="1" applyBorder="1"/>
    <xf numFmtId="0" fontId="4" fillId="3" borderId="8" xfId="0" applyFont="1" applyFill="1" applyBorder="1"/>
    <xf numFmtId="0" fontId="0" fillId="3" borderId="1" xfId="0" applyFill="1" applyBorder="1" applyAlignment="1">
      <alignment horizontal="right"/>
    </xf>
    <xf numFmtId="0" fontId="3" fillId="3" borderId="0" xfId="0" applyFont="1" applyFill="1" applyBorder="1"/>
    <xf numFmtId="0" fontId="4" fillId="3" borderId="0" xfId="0" applyFont="1" applyFill="1" applyBorder="1"/>
    <xf numFmtId="164" fontId="0" fillId="3" borderId="1" xfId="1" applyNumberFormat="1" applyFont="1" applyFill="1" applyBorder="1"/>
    <xf numFmtId="164" fontId="0" fillId="2" borderId="0" xfId="1" applyNumberFormat="1" applyFont="1" applyFill="1" applyBorder="1"/>
    <xf numFmtId="164" fontId="0" fillId="2" borderId="0" xfId="1" applyNumberFormat="1" applyFon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I16"/>
  <sheetViews>
    <sheetView workbookViewId="0">
      <selection activeCell="F20" sqref="F20"/>
    </sheetView>
  </sheetViews>
  <sheetFormatPr defaultRowHeight="14.4"/>
  <cols>
    <col min="1" max="1" width="2.88671875" style="1" customWidth="1"/>
    <col min="2" max="2" width="8.88671875" style="1"/>
    <col min="3" max="3" width="8.88671875" style="1" customWidth="1"/>
    <col min="4" max="7" width="8.88671875" style="1"/>
    <col min="8" max="8" width="12.109375" style="1" bestFit="1" customWidth="1"/>
    <col min="9" max="16384" width="8.88671875" style="1"/>
  </cols>
  <sheetData>
    <row r="1" spans="2:9" ht="15" thickBot="1"/>
    <row r="2" spans="2:9">
      <c r="B2" s="19"/>
      <c r="C2" s="20"/>
      <c r="D2" s="20"/>
      <c r="E2" s="20"/>
      <c r="F2" s="20"/>
      <c r="G2" s="20"/>
      <c r="H2" s="20"/>
      <c r="I2" s="21"/>
    </row>
    <row r="3" spans="2:9" ht="18">
      <c r="B3" s="22"/>
      <c r="C3" s="23" t="s">
        <v>0</v>
      </c>
      <c r="D3" s="24"/>
      <c r="E3" s="24"/>
      <c r="F3" s="24"/>
      <c r="G3" s="24"/>
      <c r="H3" s="24"/>
      <c r="I3" s="25"/>
    </row>
    <row r="4" spans="2:9" ht="15" thickBot="1">
      <c r="B4" s="26"/>
      <c r="C4" s="27"/>
      <c r="D4" s="27"/>
      <c r="E4" s="27"/>
      <c r="F4" s="27"/>
      <c r="G4" s="27"/>
      <c r="H4" s="27"/>
      <c r="I4" s="28"/>
    </row>
    <row r="5" spans="2:9">
      <c r="B5" s="19"/>
      <c r="C5" s="20"/>
      <c r="D5" s="20"/>
      <c r="E5" s="20"/>
      <c r="F5" s="20"/>
      <c r="G5" s="20"/>
      <c r="H5" s="20"/>
      <c r="I5" s="21"/>
    </row>
    <row r="6" spans="2:9" ht="16.2" thickBot="1">
      <c r="B6" s="26"/>
      <c r="C6" s="29" t="s">
        <v>1</v>
      </c>
      <c r="D6" s="30" t="s">
        <v>2</v>
      </c>
      <c r="E6" s="27"/>
      <c r="F6" s="27"/>
      <c r="G6" s="27"/>
      <c r="H6" s="27"/>
      <c r="I6" s="28"/>
    </row>
    <row r="7" spans="2:9" ht="15" thickBot="1">
      <c r="B7" s="2"/>
      <c r="C7" s="3"/>
      <c r="D7" s="3"/>
      <c r="E7" s="3"/>
      <c r="F7" s="3"/>
      <c r="G7" s="3"/>
      <c r="H7" s="3"/>
      <c r="I7" s="4"/>
    </row>
    <row r="8" spans="2:9" ht="15" thickBot="1">
      <c r="B8" s="2"/>
      <c r="C8" s="3" t="s">
        <v>3</v>
      </c>
      <c r="D8" s="3"/>
      <c r="E8" s="3"/>
      <c r="F8" s="3"/>
      <c r="G8" s="3"/>
      <c r="H8" s="31" t="s">
        <v>10</v>
      </c>
      <c r="I8" s="4"/>
    </row>
    <row r="9" spans="2:9" ht="15" thickBot="1">
      <c r="B9" s="2"/>
      <c r="C9" s="3"/>
      <c r="D9" s="3"/>
      <c r="E9" s="3"/>
      <c r="F9" s="3"/>
      <c r="G9" s="3"/>
      <c r="H9" s="13"/>
      <c r="I9" s="4"/>
    </row>
    <row r="10" spans="2:9" ht="15" thickBot="1">
      <c r="B10" s="2"/>
      <c r="C10" s="3" t="s">
        <v>4</v>
      </c>
      <c r="D10" s="3"/>
      <c r="E10" s="3"/>
      <c r="F10" s="3"/>
      <c r="G10" s="3"/>
      <c r="H10" s="31">
        <v>4</v>
      </c>
      <c r="I10" s="4"/>
    </row>
    <row r="11" spans="2:9" ht="15" thickBot="1">
      <c r="B11" s="2"/>
      <c r="C11" s="3"/>
      <c r="D11" s="3"/>
      <c r="E11" s="3"/>
      <c r="F11" s="3"/>
      <c r="G11" s="3"/>
      <c r="H11" s="13"/>
      <c r="I11" s="4"/>
    </row>
    <row r="12" spans="2:9" ht="15" thickBot="1">
      <c r="B12" s="2"/>
      <c r="C12" s="3" t="s">
        <v>5</v>
      </c>
      <c r="D12" s="3"/>
      <c r="E12" s="3"/>
      <c r="F12" s="3"/>
      <c r="G12" s="3"/>
      <c r="H12" s="31" t="s">
        <v>59</v>
      </c>
      <c r="I12" s="4"/>
    </row>
    <row r="13" spans="2:9" ht="15" thickBot="1">
      <c r="B13" s="2"/>
      <c r="C13" s="3"/>
      <c r="D13" s="3"/>
      <c r="E13" s="3"/>
      <c r="F13" s="3"/>
      <c r="G13" s="3"/>
      <c r="H13" s="13"/>
      <c r="I13" s="4"/>
    </row>
    <row r="14" spans="2:9" ht="15" thickBot="1">
      <c r="B14" s="2"/>
      <c r="C14" s="3" t="s">
        <v>6</v>
      </c>
      <c r="D14" s="3"/>
      <c r="E14" s="3"/>
      <c r="F14" s="3"/>
      <c r="G14" s="3"/>
      <c r="H14" s="31">
        <v>1</v>
      </c>
      <c r="I14" s="4"/>
    </row>
    <row r="15" spans="2:9">
      <c r="B15" s="2"/>
      <c r="C15" s="3"/>
      <c r="D15" s="3"/>
      <c r="E15" s="3"/>
      <c r="F15" s="3"/>
      <c r="G15" s="3"/>
      <c r="H15" s="3"/>
      <c r="I15" s="4"/>
    </row>
    <row r="16" spans="2:9" ht="15" thickBot="1">
      <c r="B16" s="5"/>
      <c r="C16" s="6"/>
      <c r="D16" s="6"/>
      <c r="E16" s="6"/>
      <c r="F16" s="6"/>
      <c r="G16" s="6"/>
      <c r="H16" s="6"/>
      <c r="I16" s="7"/>
    </row>
  </sheetData>
  <dataValidations count="4">
    <dataValidation type="list" allowBlank="1" showInputMessage="1" showErrorMessage="1" sqref="H8">
      <formula1>cities</formula1>
    </dataValidation>
    <dataValidation type="list" allowBlank="1" showInputMessage="1" showErrorMessage="1" sqref="H10">
      <formula1>people</formula1>
    </dataValidation>
    <dataValidation type="list" allowBlank="1" showInputMessage="1" showErrorMessage="1" sqref="H12">
      <formula1>system</formula1>
    </dataValidation>
    <dataValidation type="list" allowBlank="1" showInputMessage="1" showErrorMessage="1" sqref="H14">
      <formula1>eleccost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I20"/>
  <sheetViews>
    <sheetView workbookViewId="0">
      <selection activeCell="L15" sqref="L15"/>
    </sheetView>
  </sheetViews>
  <sheetFormatPr defaultRowHeight="14.4"/>
  <cols>
    <col min="1" max="1" width="2.88671875" style="1" customWidth="1"/>
    <col min="2" max="16384" width="8.88671875" style="1"/>
  </cols>
  <sheetData>
    <row r="1" spans="2:9" ht="15" thickBot="1"/>
    <row r="2" spans="2:9">
      <c r="B2" s="19"/>
      <c r="C2" s="20"/>
      <c r="D2" s="20"/>
      <c r="E2" s="20"/>
      <c r="F2" s="20"/>
      <c r="G2" s="20"/>
      <c r="H2" s="20"/>
      <c r="I2" s="21"/>
    </row>
    <row r="3" spans="2:9" ht="18">
      <c r="B3" s="22"/>
      <c r="C3" s="23" t="s">
        <v>0</v>
      </c>
      <c r="D3" s="24"/>
      <c r="E3" s="24"/>
      <c r="F3" s="24"/>
      <c r="G3" s="24"/>
      <c r="H3" s="24"/>
      <c r="I3" s="25"/>
    </row>
    <row r="4" spans="2:9" ht="15" thickBot="1">
      <c r="B4" s="26"/>
      <c r="C4" s="27"/>
      <c r="D4" s="27"/>
      <c r="E4" s="27"/>
      <c r="F4" s="27"/>
      <c r="G4" s="27"/>
      <c r="H4" s="27"/>
      <c r="I4" s="28"/>
    </row>
    <row r="5" spans="2:9">
      <c r="B5" s="19"/>
      <c r="C5" s="20"/>
      <c r="D5" s="20"/>
      <c r="E5" s="20"/>
      <c r="F5" s="20"/>
      <c r="G5" s="20"/>
      <c r="H5" s="20"/>
      <c r="I5" s="21"/>
    </row>
    <row r="6" spans="2:9" ht="15.6">
      <c r="B6" s="22"/>
      <c r="C6" s="32" t="s">
        <v>75</v>
      </c>
      <c r="D6" s="33" t="s">
        <v>19</v>
      </c>
      <c r="E6" s="24"/>
      <c r="F6" s="24"/>
      <c r="G6" s="24"/>
      <c r="H6" s="24"/>
      <c r="I6" s="25"/>
    </row>
    <row r="7" spans="2:9" ht="16.2" thickBot="1">
      <c r="B7" s="26"/>
      <c r="C7" s="29"/>
      <c r="D7" s="30" t="s">
        <v>20</v>
      </c>
      <c r="E7" s="27"/>
      <c r="F7" s="27"/>
      <c r="G7" s="27"/>
      <c r="H7" s="27"/>
      <c r="I7" s="28"/>
    </row>
    <row r="8" spans="2:9" ht="15" thickBot="1">
      <c r="B8" s="2"/>
      <c r="C8" s="3"/>
      <c r="D8" s="3"/>
      <c r="E8" s="3"/>
      <c r="F8" s="3"/>
      <c r="G8" s="13"/>
      <c r="H8" s="3"/>
      <c r="I8" s="4"/>
    </row>
    <row r="9" spans="2:9" ht="15" thickBot="1">
      <c r="B9" s="2"/>
      <c r="C9" s="3" t="s">
        <v>21</v>
      </c>
      <c r="D9" s="3"/>
      <c r="E9" s="3"/>
      <c r="F9" s="3"/>
      <c r="G9" s="13" t="s">
        <v>22</v>
      </c>
      <c r="H9" s="34">
        <f>Calcs!C26</f>
        <v>191.62500000000003</v>
      </c>
      <c r="I9" s="4"/>
    </row>
    <row r="10" spans="2:9" ht="15" thickBot="1">
      <c r="B10" s="2"/>
      <c r="C10" s="3"/>
      <c r="D10" s="3"/>
      <c r="E10" s="3"/>
      <c r="F10" s="3"/>
      <c r="G10" s="13"/>
      <c r="H10" s="35"/>
      <c r="I10" s="4"/>
    </row>
    <row r="11" spans="2:9" ht="15" thickBot="1">
      <c r="B11" s="2"/>
      <c r="C11" s="3" t="s">
        <v>23</v>
      </c>
      <c r="D11" s="3"/>
      <c r="E11" s="3"/>
      <c r="F11" s="3"/>
      <c r="G11" s="13" t="s">
        <v>22</v>
      </c>
      <c r="H11" s="34">
        <f>Calcs!C21</f>
        <v>425.83333333333337</v>
      </c>
      <c r="I11" s="4"/>
    </row>
    <row r="12" spans="2:9" ht="15" thickBot="1">
      <c r="B12" s="2"/>
      <c r="C12" s="3"/>
      <c r="D12" s="3"/>
      <c r="E12" s="3"/>
      <c r="F12" s="3"/>
      <c r="G12" s="13"/>
      <c r="H12" s="35"/>
      <c r="I12" s="4"/>
    </row>
    <row r="13" spans="2:9" ht="15" thickBot="1">
      <c r="B13" s="2"/>
      <c r="C13" s="3" t="s">
        <v>24</v>
      </c>
      <c r="D13" s="3"/>
      <c r="E13" s="3"/>
      <c r="F13" s="3"/>
      <c r="G13" s="13"/>
      <c r="H13" s="34">
        <f>Calcs!C31</f>
        <v>52.18525766470971</v>
      </c>
      <c r="I13" s="4"/>
    </row>
    <row r="14" spans="2:9">
      <c r="B14" s="2"/>
      <c r="C14" s="3"/>
      <c r="D14" s="3"/>
      <c r="E14" s="3"/>
      <c r="F14" s="3"/>
      <c r="G14" s="13"/>
      <c r="H14" s="35"/>
      <c r="I14" s="4"/>
    </row>
    <row r="15" spans="2:9" ht="15" thickBot="1">
      <c r="B15" s="2"/>
      <c r="C15" s="3" t="s">
        <v>25</v>
      </c>
      <c r="D15" s="3"/>
      <c r="E15" s="3"/>
      <c r="F15" s="3"/>
      <c r="G15" s="13"/>
      <c r="H15" s="36"/>
      <c r="I15" s="4"/>
    </row>
    <row r="16" spans="2:9" ht="15" thickBot="1">
      <c r="B16" s="2"/>
      <c r="C16" s="3"/>
      <c r="D16" s="3" t="s">
        <v>26</v>
      </c>
      <c r="E16" s="3"/>
      <c r="F16" s="3"/>
      <c r="G16" s="13" t="s">
        <v>22</v>
      </c>
      <c r="H16" s="34">
        <f>Calcs!C34</f>
        <v>2299.5000000000005</v>
      </c>
      <c r="I16" s="4"/>
    </row>
    <row r="17" spans="2:9" ht="15" thickBot="1">
      <c r="B17" s="2"/>
      <c r="C17" s="3"/>
      <c r="D17" s="3" t="s">
        <v>27</v>
      </c>
      <c r="E17" s="3"/>
      <c r="F17" s="3"/>
      <c r="G17" s="13" t="s">
        <v>22</v>
      </c>
      <c r="H17" s="34">
        <f>Calcs!C35</f>
        <v>4599.0000000000009</v>
      </c>
      <c r="I17" s="4"/>
    </row>
    <row r="18" spans="2:9" ht="15" thickBot="1">
      <c r="B18" s="2"/>
      <c r="C18" s="3"/>
      <c r="D18" s="3" t="s">
        <v>28</v>
      </c>
      <c r="E18" s="3"/>
      <c r="F18" s="3"/>
      <c r="G18" s="13" t="s">
        <v>22</v>
      </c>
      <c r="H18" s="34">
        <f>Calcs!C36</f>
        <v>9198.0000000000018</v>
      </c>
      <c r="I18" s="4"/>
    </row>
    <row r="19" spans="2:9">
      <c r="B19" s="2"/>
      <c r="C19" s="3"/>
      <c r="D19" s="3"/>
      <c r="E19" s="3"/>
      <c r="F19" s="3"/>
      <c r="G19" s="3"/>
      <c r="H19" s="3"/>
      <c r="I19" s="4"/>
    </row>
    <row r="20" spans="2:9" ht="15" thickBot="1">
      <c r="B20" s="5"/>
      <c r="C20" s="6"/>
      <c r="D20" s="6"/>
      <c r="E20" s="6"/>
      <c r="F20" s="6"/>
      <c r="G20" s="6"/>
      <c r="H20" s="6"/>
      <c r="I20" s="7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I23"/>
  <sheetViews>
    <sheetView tabSelected="1" workbookViewId="0"/>
  </sheetViews>
  <sheetFormatPr defaultRowHeight="14.4"/>
  <cols>
    <col min="1" max="1" width="2.88671875" style="1" customWidth="1"/>
    <col min="2" max="7" width="8.88671875" style="1"/>
    <col min="8" max="8" width="9.88671875" style="1" bestFit="1" customWidth="1"/>
    <col min="9" max="9" width="10.44140625" style="1" customWidth="1"/>
    <col min="10" max="16384" width="8.88671875" style="1"/>
  </cols>
  <sheetData>
    <row r="1" spans="2:9" ht="15" thickBot="1"/>
    <row r="2" spans="2:9">
      <c r="B2" s="19"/>
      <c r="C2" s="20"/>
      <c r="D2" s="20"/>
      <c r="E2" s="20"/>
      <c r="F2" s="20"/>
      <c r="G2" s="20"/>
      <c r="H2" s="20"/>
      <c r="I2" s="21"/>
    </row>
    <row r="3" spans="2:9" ht="18">
      <c r="B3" s="22"/>
      <c r="C3" s="23" t="s">
        <v>0</v>
      </c>
      <c r="D3" s="24"/>
      <c r="E3" s="24"/>
      <c r="F3" s="24"/>
      <c r="G3" s="24"/>
      <c r="H3" s="24"/>
      <c r="I3" s="25"/>
    </row>
    <row r="4" spans="2:9" ht="15" thickBot="1">
      <c r="B4" s="26"/>
      <c r="C4" s="27"/>
      <c r="D4" s="27"/>
      <c r="E4" s="27"/>
      <c r="F4" s="27"/>
      <c r="G4" s="27"/>
      <c r="H4" s="27"/>
      <c r="I4" s="28"/>
    </row>
    <row r="5" spans="2:9">
      <c r="B5" s="19"/>
      <c r="C5" s="20"/>
      <c r="D5" s="20"/>
      <c r="E5" s="20"/>
      <c r="F5" s="20"/>
      <c r="G5" s="20"/>
      <c r="H5" s="20"/>
      <c r="I5" s="21"/>
    </row>
    <row r="6" spans="2:9" ht="15.6">
      <c r="B6" s="22"/>
      <c r="C6" s="32" t="s">
        <v>62</v>
      </c>
      <c r="D6" s="33" t="s">
        <v>63</v>
      </c>
      <c r="E6" s="24"/>
      <c r="F6" s="24"/>
      <c r="G6" s="24"/>
      <c r="H6" s="24"/>
      <c r="I6" s="25"/>
    </row>
    <row r="7" spans="2:9" ht="16.2" thickBot="1">
      <c r="B7" s="26"/>
      <c r="C7" s="29"/>
      <c r="D7" s="30" t="s">
        <v>72</v>
      </c>
      <c r="E7" s="27"/>
      <c r="F7" s="27"/>
      <c r="G7" s="27"/>
      <c r="H7" s="27"/>
      <c r="I7" s="28"/>
    </row>
    <row r="8" spans="2:9" ht="15" thickBot="1">
      <c r="B8" s="2"/>
      <c r="C8" s="3"/>
      <c r="D8" s="3"/>
      <c r="E8" s="3"/>
      <c r="F8" s="3"/>
      <c r="G8" s="13"/>
      <c r="H8" s="3"/>
      <c r="I8" s="4"/>
    </row>
    <row r="9" spans="2:9" ht="15" thickBot="1">
      <c r="B9" s="2"/>
      <c r="C9" s="3" t="s">
        <v>74</v>
      </c>
      <c r="D9" s="3"/>
      <c r="E9" s="3"/>
      <c r="F9" s="3"/>
      <c r="G9" s="13" t="s">
        <v>42</v>
      </c>
      <c r="H9" s="34">
        <f>Calcs!C25*12*Calcs!C16</f>
        <v>22995.000000000004</v>
      </c>
      <c r="I9" s="4"/>
    </row>
    <row r="10" spans="2:9" ht="15" thickBot="1">
      <c r="B10" s="2"/>
      <c r="C10" s="3"/>
      <c r="D10" s="3"/>
      <c r="E10" s="3"/>
      <c r="F10" s="3"/>
      <c r="G10" s="13"/>
      <c r="H10" s="35"/>
      <c r="I10" s="4"/>
    </row>
    <row r="11" spans="2:9" ht="15" thickBot="1">
      <c r="B11" s="2"/>
      <c r="C11" s="3" t="s">
        <v>64</v>
      </c>
      <c r="D11" s="18">
        <v>1.26</v>
      </c>
      <c r="E11" s="3"/>
      <c r="F11" s="3"/>
      <c r="G11" s="13" t="s">
        <v>71</v>
      </c>
      <c r="H11" s="34">
        <f>$H$9*D11</f>
        <v>28973.700000000004</v>
      </c>
      <c r="I11" s="4"/>
    </row>
    <row r="12" spans="2:9" ht="15" thickBot="1">
      <c r="B12" s="2"/>
      <c r="C12" s="3"/>
      <c r="D12" s="18"/>
      <c r="E12" s="3"/>
      <c r="F12" s="3"/>
      <c r="G12" s="13"/>
      <c r="H12" s="35"/>
      <c r="I12" s="4"/>
    </row>
    <row r="13" spans="2:9" ht="15" thickBot="1">
      <c r="B13" s="2"/>
      <c r="C13" s="3" t="s">
        <v>65</v>
      </c>
      <c r="D13" s="18">
        <v>0.5</v>
      </c>
      <c r="E13" s="3"/>
      <c r="F13" s="3"/>
      <c r="G13" s="13" t="s">
        <v>70</v>
      </c>
      <c r="H13" s="34">
        <f>$H$9*D13</f>
        <v>11497.500000000002</v>
      </c>
      <c r="I13" s="4"/>
    </row>
    <row r="14" spans="2:9" ht="15" thickBot="1">
      <c r="B14" s="2"/>
      <c r="C14" s="3"/>
      <c r="D14" s="18"/>
      <c r="E14" s="3"/>
      <c r="F14" s="3"/>
      <c r="G14" s="13"/>
      <c r="H14" s="35"/>
      <c r="I14" s="4"/>
    </row>
    <row r="15" spans="2:9" ht="15" thickBot="1">
      <c r="B15" s="2"/>
      <c r="C15" s="3" t="s">
        <v>66</v>
      </c>
      <c r="D15" s="18">
        <f>0.28/1000</f>
        <v>2.8000000000000003E-4</v>
      </c>
      <c r="E15" s="3"/>
      <c r="F15" s="3"/>
      <c r="G15" s="13" t="s">
        <v>70</v>
      </c>
      <c r="H15" s="34">
        <f>$H$9*D15</f>
        <v>6.4386000000000019</v>
      </c>
      <c r="I15" s="4"/>
    </row>
    <row r="16" spans="2:9" ht="15" thickBot="1">
      <c r="B16" s="2"/>
      <c r="C16" s="3"/>
      <c r="D16" s="18"/>
      <c r="E16" s="3"/>
      <c r="F16" s="3"/>
      <c r="G16" s="13"/>
      <c r="H16" s="35"/>
      <c r="I16" s="4"/>
    </row>
    <row r="17" spans="2:9" ht="15" thickBot="1">
      <c r="B17" s="2"/>
      <c r="C17" s="3" t="s">
        <v>67</v>
      </c>
      <c r="D17" s="18">
        <f>8.79/1000</f>
        <v>8.7899999999999992E-3</v>
      </c>
      <c r="E17" s="3"/>
      <c r="F17" s="3"/>
      <c r="G17" s="13" t="s">
        <v>70</v>
      </c>
      <c r="H17" s="34">
        <f>$H$9*D17</f>
        <v>202.12605000000002</v>
      </c>
      <c r="I17" s="4"/>
    </row>
    <row r="18" spans="2:9" ht="15" thickBot="1">
      <c r="B18" s="2"/>
      <c r="C18" s="3"/>
      <c r="D18" s="18"/>
      <c r="E18" s="3"/>
      <c r="F18" s="3"/>
      <c r="G18" s="13"/>
      <c r="H18" s="35"/>
      <c r="I18" s="4"/>
    </row>
    <row r="19" spans="2:9" ht="15" thickBot="1">
      <c r="B19" s="2"/>
      <c r="C19" s="3" t="s">
        <v>68</v>
      </c>
      <c r="D19" s="18">
        <f>3.87/1000</f>
        <v>3.8700000000000002E-3</v>
      </c>
      <c r="E19" s="3"/>
      <c r="F19" s="3"/>
      <c r="G19" s="13" t="s">
        <v>70</v>
      </c>
      <c r="H19" s="34">
        <f>$H$9*D19</f>
        <v>88.990650000000016</v>
      </c>
      <c r="I19" s="4"/>
    </row>
    <row r="20" spans="2:9" ht="15" thickBot="1">
      <c r="B20" s="2"/>
      <c r="C20" s="3"/>
      <c r="D20" s="18"/>
      <c r="E20" s="3"/>
      <c r="F20" s="3"/>
      <c r="G20" s="13"/>
      <c r="H20" s="35"/>
      <c r="I20" s="4"/>
    </row>
    <row r="21" spans="2:9" ht="15" thickBot="1">
      <c r="B21" s="2"/>
      <c r="C21" s="3" t="s">
        <v>69</v>
      </c>
      <c r="D21" s="18">
        <v>0.96</v>
      </c>
      <c r="E21" s="3"/>
      <c r="F21" s="3"/>
      <c r="G21" s="13" t="s">
        <v>70</v>
      </c>
      <c r="H21" s="34">
        <f>$H$9*D21</f>
        <v>22075.200000000004</v>
      </c>
      <c r="I21" s="4"/>
    </row>
    <row r="22" spans="2:9">
      <c r="B22" s="2"/>
      <c r="C22" s="3"/>
      <c r="D22" s="3"/>
      <c r="E22" s="3"/>
      <c r="F22" s="3"/>
      <c r="G22" s="13"/>
      <c r="H22" s="3"/>
      <c r="I22" s="4"/>
    </row>
    <row r="23" spans="2:9" ht="15" thickBot="1">
      <c r="B23" s="5"/>
      <c r="C23" s="6"/>
      <c r="D23" s="6"/>
      <c r="E23" s="6"/>
      <c r="F23" s="6"/>
      <c r="G23" s="6"/>
      <c r="H23" s="6"/>
      <c r="I23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J22"/>
  <sheetViews>
    <sheetView workbookViewId="0">
      <selection activeCell="B24" sqref="B24"/>
    </sheetView>
  </sheetViews>
  <sheetFormatPr defaultRowHeight="14.4"/>
  <cols>
    <col min="1" max="1" width="8.88671875" style="1"/>
    <col min="2" max="2" width="12.109375" style="10" bestFit="1" customWidth="1"/>
    <col min="3" max="3" width="12.109375" style="10" customWidth="1"/>
    <col min="4" max="4" width="4" style="1" customWidth="1"/>
    <col min="5" max="5" width="11.6640625" style="9" customWidth="1"/>
    <col min="6" max="6" width="5" style="1" bestFit="1" customWidth="1"/>
    <col min="7" max="7" width="8.21875" style="10" bestFit="1" customWidth="1"/>
    <col min="8" max="8" width="13.77734375" style="10" bestFit="1" customWidth="1"/>
    <col min="9" max="9" width="6" style="10" bestFit="1" customWidth="1"/>
    <col min="10" max="10" width="4.5546875" style="10" bestFit="1" customWidth="1"/>
    <col min="11" max="16384" width="8.88671875" style="1"/>
  </cols>
  <sheetData>
    <row r="2" spans="2:10" ht="15" thickBot="1">
      <c r="B2" s="11" t="s">
        <v>7</v>
      </c>
      <c r="C2" s="11" t="s">
        <v>33</v>
      </c>
      <c r="E2" s="8" t="s">
        <v>13</v>
      </c>
      <c r="G2" s="12" t="s">
        <v>14</v>
      </c>
      <c r="H2" s="12" t="s">
        <v>15</v>
      </c>
      <c r="I2" s="12" t="s">
        <v>16</v>
      </c>
      <c r="J2" s="12" t="s">
        <v>17</v>
      </c>
    </row>
    <row r="3" spans="2:10">
      <c r="B3" s="10" t="s">
        <v>8</v>
      </c>
      <c r="C3" s="10">
        <v>30</v>
      </c>
      <c r="E3" s="9">
        <v>1</v>
      </c>
      <c r="G3" s="10">
        <v>1</v>
      </c>
      <c r="H3" s="10" t="s">
        <v>59</v>
      </c>
      <c r="I3" s="10">
        <v>8000</v>
      </c>
      <c r="J3" s="17">
        <v>0.4</v>
      </c>
    </row>
    <row r="4" spans="2:10">
      <c r="B4" s="10" t="s">
        <v>9</v>
      </c>
      <c r="C4" s="10">
        <v>20</v>
      </c>
      <c r="E4" s="9">
        <v>2</v>
      </c>
      <c r="G4" s="10">
        <v>2</v>
      </c>
      <c r="H4" s="10" t="s">
        <v>61</v>
      </c>
      <c r="I4" s="10">
        <v>9000</v>
      </c>
      <c r="J4" s="17">
        <v>0.35</v>
      </c>
    </row>
    <row r="5" spans="2:10">
      <c r="B5" s="10" t="s">
        <v>10</v>
      </c>
      <c r="C5" s="10">
        <v>10</v>
      </c>
      <c r="E5" s="9">
        <v>3</v>
      </c>
      <c r="G5" s="10">
        <v>3</v>
      </c>
      <c r="H5" s="10" t="s">
        <v>60</v>
      </c>
      <c r="I5" s="10">
        <v>10000</v>
      </c>
      <c r="J5" s="17">
        <v>0.45</v>
      </c>
    </row>
    <row r="6" spans="2:10">
      <c r="B6" s="10" t="s">
        <v>11</v>
      </c>
      <c r="C6" s="10">
        <v>25</v>
      </c>
      <c r="E6" s="9">
        <v>4</v>
      </c>
    </row>
    <row r="7" spans="2:10">
      <c r="B7" s="10" t="s">
        <v>12</v>
      </c>
      <c r="C7" s="10">
        <v>20</v>
      </c>
      <c r="E7" s="9">
        <v>5</v>
      </c>
    </row>
    <row r="8" spans="2:10">
      <c r="E8" s="9">
        <v>6</v>
      </c>
    </row>
    <row r="9" spans="2:10">
      <c r="E9" s="9">
        <v>7</v>
      </c>
    </row>
    <row r="10" spans="2:10">
      <c r="E10" s="9">
        <v>8</v>
      </c>
    </row>
    <row r="11" spans="2:10">
      <c r="E11" s="9">
        <v>9</v>
      </c>
    </row>
    <row r="12" spans="2:10">
      <c r="E12" s="9">
        <v>10</v>
      </c>
    </row>
    <row r="14" spans="2:10">
      <c r="B14" s="11" t="s">
        <v>18</v>
      </c>
      <c r="C14" s="11"/>
    </row>
    <row r="15" spans="2:10">
      <c r="B15" s="10">
        <v>0.4</v>
      </c>
    </row>
    <row r="16" spans="2:10">
      <c r="B16" s="10">
        <v>0.5</v>
      </c>
    </row>
    <row r="17" spans="2:2">
      <c r="B17" s="10">
        <v>0.6</v>
      </c>
    </row>
    <row r="18" spans="2:2">
      <c r="B18" s="10">
        <v>0.7</v>
      </c>
    </row>
    <row r="19" spans="2:2">
      <c r="B19" s="10">
        <v>0.8</v>
      </c>
    </row>
    <row r="20" spans="2:2">
      <c r="B20" s="10">
        <v>0.9</v>
      </c>
    </row>
    <row r="21" spans="2:2">
      <c r="B21" s="10">
        <v>1</v>
      </c>
    </row>
    <row r="22" spans="2:2">
      <c r="B22" s="10">
        <v>1.1000000000000001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3:E36"/>
  <sheetViews>
    <sheetView topLeftCell="A7" workbookViewId="0">
      <selection activeCell="K26" sqref="K26"/>
    </sheetView>
  </sheetViews>
  <sheetFormatPr defaultColWidth="12.21875" defaultRowHeight="14.4"/>
  <cols>
    <col min="1" max="1" width="3.21875" style="1" customWidth="1"/>
    <col min="2" max="3" width="25.21875" style="1" customWidth="1"/>
    <col min="4" max="16384" width="12.21875" style="1"/>
  </cols>
  <sheetData>
    <row r="3" spans="2:3">
      <c r="B3" s="1" t="s">
        <v>30</v>
      </c>
      <c r="C3" s="1">
        <v>4200</v>
      </c>
    </row>
    <row r="4" spans="2:3">
      <c r="B4" s="1" t="s">
        <v>31</v>
      </c>
      <c r="C4" s="1">
        <v>70</v>
      </c>
    </row>
    <row r="5" spans="2:3">
      <c r="B5" s="1" t="s">
        <v>32</v>
      </c>
      <c r="C5" s="1">
        <v>20</v>
      </c>
    </row>
    <row r="6" spans="2:3">
      <c r="B6" s="1" t="s">
        <v>29</v>
      </c>
      <c r="C6" s="1">
        <v>60</v>
      </c>
    </row>
    <row r="7" spans="2:3">
      <c r="B7" s="1" t="s">
        <v>35</v>
      </c>
      <c r="C7" s="15">
        <f>365/12</f>
        <v>30.416666666666668</v>
      </c>
    </row>
    <row r="8" spans="2:3">
      <c r="B8" s="1" t="s">
        <v>38</v>
      </c>
      <c r="C8" s="1">
        <f>npeople</f>
        <v>4</v>
      </c>
    </row>
    <row r="9" spans="2:3">
      <c r="B9" s="1" t="s">
        <v>36</v>
      </c>
      <c r="C9" s="14" t="str">
        <f>mj</f>
        <v>Durban</v>
      </c>
    </row>
    <row r="10" spans="2:3">
      <c r="B10" s="1" t="s">
        <v>34</v>
      </c>
      <c r="C10" s="1">
        <f>VLOOKUP(C9,Data!B3:C7,2,FALSE)</f>
        <v>10</v>
      </c>
    </row>
    <row r="11" spans="2:3">
      <c r="B11" s="1" t="s">
        <v>39</v>
      </c>
      <c r="C11" s="1">
        <v>3600000</v>
      </c>
    </row>
    <row r="12" spans="2:3">
      <c r="B12" s="1" t="s">
        <v>44</v>
      </c>
      <c r="C12" s="1">
        <f>ckwh</f>
        <v>1</v>
      </c>
    </row>
    <row r="13" spans="2:3">
      <c r="B13" s="1" t="s">
        <v>46</v>
      </c>
      <c r="C13" s="14" t="str">
        <f>'Page 1'!H12</f>
        <v>Supplier One</v>
      </c>
    </row>
    <row r="14" spans="2:3">
      <c r="B14" s="1" t="s">
        <v>45</v>
      </c>
      <c r="C14" s="14">
        <f>VLOOKUP(C13,Data!H3:J5,3)</f>
        <v>0.45</v>
      </c>
    </row>
    <row r="15" spans="2:3">
      <c r="B15" s="1" t="s">
        <v>53</v>
      </c>
      <c r="C15" s="1">
        <f>VLOOKUP(C13,Data!H3:J5,2)</f>
        <v>10000</v>
      </c>
    </row>
    <row r="16" spans="2:3">
      <c r="B16" s="1" t="s">
        <v>73</v>
      </c>
      <c r="C16" s="1">
        <v>10</v>
      </c>
    </row>
    <row r="18" spans="2:5">
      <c r="B18" s="1" t="s">
        <v>37</v>
      </c>
      <c r="C18" s="1">
        <f>npeople*hwpp</f>
        <v>240</v>
      </c>
    </row>
    <row r="19" spans="2:5">
      <c r="B19" s="1" t="s">
        <v>40</v>
      </c>
      <c r="C19" s="1">
        <f>systemcost*cp*(tset-tin)/const</f>
        <v>14</v>
      </c>
      <c r="D19" s="1" t="s">
        <v>42</v>
      </c>
    </row>
    <row r="20" spans="2:5">
      <c r="B20" s="1" t="s">
        <v>41</v>
      </c>
      <c r="C20" s="15">
        <f>dayenergy*dayspermonth</f>
        <v>425.83333333333337</v>
      </c>
      <c r="D20" s="1" t="s">
        <v>42</v>
      </c>
    </row>
    <row r="21" spans="2:5" ht="15" thickBot="1">
      <c r="B21" s="1" t="s">
        <v>43</v>
      </c>
      <c r="C21" s="16">
        <f>monthenergy*ckwh</f>
        <v>425.83333333333337</v>
      </c>
      <c r="D21" s="1" t="s">
        <v>22</v>
      </c>
      <c r="E21" s="1" t="s">
        <v>50</v>
      </c>
    </row>
    <row r="25" spans="2:5">
      <c r="B25" s="1" t="s">
        <v>47</v>
      </c>
      <c r="C25" s="1">
        <f>monthenergy*C14</f>
        <v>191.62500000000003</v>
      </c>
      <c r="E25" s="1" t="s">
        <v>51</v>
      </c>
    </row>
    <row r="26" spans="2:5" ht="15" thickBot="1">
      <c r="B26" s="1" t="s">
        <v>48</v>
      </c>
      <c r="C26" s="6">
        <f>C25*C12</f>
        <v>191.62500000000003</v>
      </c>
    </row>
    <row r="28" spans="2:5" ht="15" thickBot="1">
      <c r="B28" s="1" t="s">
        <v>49</v>
      </c>
      <c r="C28" s="16">
        <f>C21-C26</f>
        <v>234.20833333333334</v>
      </c>
      <c r="E28" s="1" t="s">
        <v>52</v>
      </c>
    </row>
    <row r="31" spans="2:5">
      <c r="B31" s="1" t="s">
        <v>54</v>
      </c>
      <c r="C31" s="1">
        <f>C15/C26</f>
        <v>52.18525766470971</v>
      </c>
    </row>
    <row r="32" spans="2:5" ht="15" thickBot="1">
      <c r="B32" s="1" t="s">
        <v>55</v>
      </c>
      <c r="C32" s="6">
        <f>C31/12</f>
        <v>4.3487714720591422</v>
      </c>
    </row>
    <row r="34" spans="2:3">
      <c r="B34" s="1" t="s">
        <v>56</v>
      </c>
      <c r="C34" s="1">
        <f>C26*12</f>
        <v>2299.5000000000005</v>
      </c>
    </row>
    <row r="35" spans="2:3">
      <c r="B35" s="1" t="s">
        <v>57</v>
      </c>
      <c r="C35" s="1">
        <f>C34*2</f>
        <v>4599.0000000000009</v>
      </c>
    </row>
    <row r="36" spans="2:3" ht="15" thickBot="1">
      <c r="B36" s="1" t="s">
        <v>58</v>
      </c>
      <c r="C36" s="6">
        <f>C35*2</f>
        <v>9198.0000000000018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21</vt:i4>
      </vt:variant>
    </vt:vector>
  </HeadingPairs>
  <TitlesOfParts>
    <vt:vector size="26" baseType="lpstr">
      <vt:lpstr>Page 1</vt:lpstr>
      <vt:lpstr>Page2</vt:lpstr>
      <vt:lpstr>Page3</vt:lpstr>
      <vt:lpstr>Data</vt:lpstr>
      <vt:lpstr>Calcs</vt:lpstr>
      <vt:lpstr>cities</vt:lpstr>
      <vt:lpstr>citylist</vt:lpstr>
      <vt:lpstr>citylistobs</vt:lpstr>
      <vt:lpstr>ckwh</vt:lpstr>
      <vt:lpstr>const</vt:lpstr>
      <vt:lpstr>cp</vt:lpstr>
      <vt:lpstr>dayenergy</vt:lpstr>
      <vt:lpstr>dayspermonth</vt:lpstr>
      <vt:lpstr>eleccost</vt:lpstr>
      <vt:lpstr>hwater</vt:lpstr>
      <vt:lpstr>hwpp</vt:lpstr>
      <vt:lpstr>mj</vt:lpstr>
      <vt:lpstr>monthenergy</vt:lpstr>
      <vt:lpstr>npeople</vt:lpstr>
      <vt:lpstr>people</vt:lpstr>
      <vt:lpstr>radiation</vt:lpstr>
      <vt:lpstr>system</vt:lpstr>
      <vt:lpstr>systemcost</vt:lpstr>
      <vt:lpstr>systemq</vt:lpstr>
      <vt:lpstr>tin</vt:lpstr>
      <vt:lpstr>tset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2011-05-27T10:48:13Z</dcterms:modified>
</cp:coreProperties>
</file>